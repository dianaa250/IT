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16380" windowHeight="8190" tabRatio="500" activeTab="1"/>
  </bookViews>
  <sheets>
    <sheet name="Статистика" sheetId="1" r:id="rId1"/>
    <sheet name="Товары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2" l="1"/>
  <c r="C22" i="2"/>
  <c r="E16" i="2"/>
  <c r="H16" i="2" s="1"/>
  <c r="F15" i="2"/>
  <c r="E15" i="2"/>
  <c r="E14" i="2"/>
  <c r="H14" i="2" s="1"/>
  <c r="H13" i="2"/>
  <c r="E13" i="2"/>
  <c r="E12" i="2"/>
  <c r="H12" i="2" s="1"/>
  <c r="H11" i="2"/>
  <c r="F11" i="2"/>
  <c r="E11" i="2"/>
  <c r="E10" i="2"/>
  <c r="H10" i="2" s="1"/>
  <c r="H9" i="2"/>
  <c r="E9" i="2"/>
  <c r="E8" i="2"/>
  <c r="H8" i="2" s="1"/>
  <c r="F7" i="2"/>
  <c r="E7" i="2"/>
  <c r="E6" i="2"/>
  <c r="H6" i="2" s="1"/>
  <c r="H5" i="2"/>
  <c r="E5" i="2"/>
  <c r="E4" i="2"/>
  <c r="H4" i="2" s="1"/>
  <c r="F3" i="2"/>
  <c r="E3" i="2"/>
  <c r="E2" i="2"/>
  <c r="C27" i="2" s="1"/>
  <c r="E25" i="1"/>
  <c r="D25" i="1"/>
  <c r="C25" i="1"/>
  <c r="E24" i="1"/>
  <c r="D24" i="1"/>
  <c r="C24" i="1"/>
  <c r="E23" i="1"/>
  <c r="D23" i="1"/>
  <c r="C23" i="1"/>
  <c r="G22" i="1"/>
  <c r="E22" i="1"/>
  <c r="D22" i="1"/>
  <c r="C22" i="1"/>
  <c r="E21" i="1"/>
  <c r="D21" i="1"/>
  <c r="C21" i="1"/>
  <c r="E20" i="1"/>
  <c r="D20" i="1"/>
  <c r="C20" i="1"/>
  <c r="G16" i="1"/>
  <c r="H16" i="1" s="1"/>
  <c r="F16" i="1"/>
  <c r="I16" i="1" s="1"/>
  <c r="I15" i="1"/>
  <c r="H15" i="1"/>
  <c r="G15" i="1"/>
  <c r="F15" i="1"/>
  <c r="G14" i="1"/>
  <c r="H14" i="1" s="1"/>
  <c r="F14" i="1"/>
  <c r="I14" i="1" s="1"/>
  <c r="G13" i="1"/>
  <c r="H13" i="1" s="1"/>
  <c r="F13" i="1"/>
  <c r="I13" i="1" s="1"/>
  <c r="G12" i="1"/>
  <c r="H12" i="1" s="1"/>
  <c r="F12" i="1"/>
  <c r="I12" i="1" s="1"/>
  <c r="I11" i="1"/>
  <c r="H11" i="1"/>
  <c r="G11" i="1"/>
  <c r="F11" i="1"/>
  <c r="G10" i="1"/>
  <c r="H10" i="1" s="1"/>
  <c r="F10" i="1"/>
  <c r="I10" i="1" s="1"/>
  <c r="G9" i="1"/>
  <c r="H9" i="1" s="1"/>
  <c r="F9" i="1"/>
  <c r="I9" i="1" s="1"/>
  <c r="G8" i="1"/>
  <c r="H8" i="1" s="1"/>
  <c r="F8" i="1"/>
  <c r="I8" i="1" s="1"/>
  <c r="I7" i="1"/>
  <c r="H7" i="1"/>
  <c r="G7" i="1"/>
  <c r="F7" i="1"/>
  <c r="G6" i="1"/>
  <c r="H6" i="1" s="1"/>
  <c r="F6" i="1"/>
  <c r="I6" i="1" s="1"/>
  <c r="G5" i="1"/>
  <c r="H5" i="1" s="1"/>
  <c r="F5" i="1"/>
  <c r="I5" i="1" s="1"/>
  <c r="G4" i="1"/>
  <c r="G25" i="1" s="1"/>
  <c r="F4" i="1"/>
  <c r="F22" i="1" s="1"/>
  <c r="I3" i="1"/>
  <c r="H3" i="1"/>
  <c r="G3" i="1"/>
  <c r="F3" i="1"/>
  <c r="G2" i="1"/>
  <c r="G23" i="1" s="1"/>
  <c r="F2" i="1"/>
  <c r="F20" i="1" s="1"/>
  <c r="G20" i="1" l="1"/>
  <c r="H3" i="2"/>
  <c r="H7" i="2"/>
  <c r="H15" i="2"/>
  <c r="H2" i="1"/>
  <c r="I2" i="1"/>
  <c r="F24" i="1"/>
  <c r="F4" i="2"/>
  <c r="F8" i="2"/>
  <c r="F16" i="2"/>
  <c r="F21" i="1"/>
  <c r="G24" i="1"/>
  <c r="G4" i="2"/>
  <c r="F12" i="2"/>
  <c r="G21" i="1"/>
  <c r="E17" i="2"/>
  <c r="F5" i="2"/>
  <c r="F9" i="2"/>
  <c r="F13" i="2"/>
  <c r="F25" i="1"/>
  <c r="C20" i="2"/>
  <c r="C21" i="2"/>
  <c r="F2" i="2"/>
  <c r="F6" i="2"/>
  <c r="F10" i="2"/>
  <c r="F14" i="2"/>
  <c r="C23" i="2"/>
  <c r="C24" i="2"/>
  <c r="H2" i="2"/>
  <c r="C25" i="2"/>
  <c r="H4" i="1"/>
  <c r="F23" i="1"/>
  <c r="C26" i="2"/>
  <c r="I4" i="1"/>
  <c r="G15" i="2" l="1"/>
  <c r="G11" i="2"/>
  <c r="G7" i="2"/>
  <c r="G3" i="2"/>
  <c r="G6" i="2"/>
  <c r="G16" i="2"/>
  <c r="G9" i="2"/>
  <c r="G2" i="2"/>
  <c r="G12" i="2"/>
  <c r="G5" i="2"/>
  <c r="C30" i="2"/>
  <c r="C29" i="2"/>
  <c r="C28" i="2"/>
  <c r="G14" i="2"/>
  <c r="G10" i="2"/>
  <c r="G8" i="2"/>
  <c r="G13" i="2"/>
  <c r="G17" i="2" l="1"/>
</calcChain>
</file>

<file path=xl/comments1.xml><?xml version="1.0" encoding="utf-8"?>
<comments xmlns="http://schemas.openxmlformats.org/spreadsheetml/2006/main">
  <authors>
    <author>Unknown Author</author>
  </authors>
  <commentList>
    <comment ref="H1" authorId="0" shapeId="0">
      <text>
        <r>
          <rPr>
            <sz val="10"/>
            <rFont val="Arial"/>
            <family val="2"/>
          </rPr>
          <t>Критерий в задании не задан. Принято по среднему баллу: &gt;=85 -&gt; 5, &gt;=70 -&gt; 4, &gt;=55 -&gt; 3, иначе 2.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C26" authorId="0" shapeId="0">
      <text>
        <r>
          <rPr>
            <sz val="10"/>
            <rFont val="Arial"/>
            <family val="2"/>
          </rPr>
          <t>Выборочное (STDEV). Для генеральной совокупности - STDEV.P.</t>
        </r>
      </text>
    </comment>
  </commentList>
</comments>
</file>

<file path=xl/sharedStrings.xml><?xml version="1.0" encoding="utf-8"?>
<sst xmlns="http://schemas.openxmlformats.org/spreadsheetml/2006/main" count="74" uniqueCount="64">
  <si>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</si>
  <si>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</si>
  <si>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</si>
  <si>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</si>
  <si>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</si>
  <si>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</si>
  <si>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</si>
  <si>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</si>
  <si>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</si>
  <si>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</si>
  <si>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</si>
  <si>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</si>
  <si>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</si>
  <si>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</si>
  <si>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</si>
  <si>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</si>
  <si>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</si>
  <si>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</si>
  <si>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</si>
  <si>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</si>
  <si>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</si>
  <si>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</si>
  <si>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</si>
  <si>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</si>
  <si>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</t>
  </si>
  <si>
    <t>Показатель</t>
  </si>
  <si>
    <t>Балл 1</t>
  </si>
  <si>
    <t>Балл 2</t>
  </si>
  <si>
    <t>Балл 3</t>
  </si>
  <si>
    <t>Сумма</t>
  </si>
  <si>
    <t>Среднее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</si>
  <si>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</si>
  <si>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</si>
  <si>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</si>
  <si>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</si>
  <si>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</si>
  <si>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</si>
  <si>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</si>
  <si>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</si>
  <si>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</si>
  <si>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Доля, %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</si>
  <si>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</si>
  <si>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</si>
  <si>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</si>
  <si>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</si>
  <si>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</si>
  <si>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</si>
  <si>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</si>
  <si>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</si>
  <si>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</si>
  <si>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</si>
  <si>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</si>
  <si>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</si>
  <si>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</si>
  <si>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</si>
  <si>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</si>
  <si>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</t>
  </si>
  <si>
    <t>Статистика по выручке</t>
  </si>
  <si>
    <t>Стандартное отклонение</t>
  </si>
  <si>
    <t>Дисперсия</t>
  </si>
  <si>
    <t>Кол-во товаров «Топ»</t>
  </si>
  <si>
    <t>Сумма выручки «Топ»</t>
  </si>
  <si>
    <t>Средняя выручка «Средний»</t>
  </si>
  <si>
    <t>Корреляция цена — 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</si>
</sst>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b/>
      <sz val="11"/>
      <color theme="0"/>
      <name val="Arial"/>
      <family val="2"/>
      <charset val="204"/>
    </font>
    <font>
      <b/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/>
        <bgColor rgb="FF333333"/>
      </patternFill>
    </fill>
    <fill>
      <patternFill patternType="solid">
        <fgColor theme="3" tint="0.39997558519241921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  <xf numFmtId="3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166" fontId="2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5"/>
  <sheetViews>
    <sheetView zoomScaleNormal="100" workbookViewId="0">
      <pane ySplit="1" topLeftCell="A2" activePane="bottomLeft" state="frozen"/>
      <selection pane="bottomLeft" activeCell="B19" sqref="B19"/>
    </sheetView>
  </sheetViews>
  <sheetFormatPr defaultColWidth="8.7109375" defaultRowHeight="15" x14ac:dyDescent="0.25"/>
  <cols>
    <col min="1" max="1" width="5" customWidth="1"/>
    <col min="2" max="2" width="20" customWidth="1"/>
    <col min="3" max="9" width="14" customWidth="1"/>
  </cols>
  <sheetData>
    <row r="1" spans="1:9" ht="31.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x14ac:dyDescent="0.25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5">
        <f t="shared" ref="G2:G16" si="1">AVERAGE(C2:E2)</f>
        <v>85</v>
      </c>
      <c r="H2" s="2">
        <f t="shared" ref="H2:H16" si="2">IF(G2&gt;=85,5,IF(G2&gt;=70,4,IF(G2&gt;=55,3,2)))</f>
        <v>5</v>
      </c>
      <c r="I2" s="2">
        <f t="shared" ref="I2:I16" si="3">RANK(F2,$F$2:$F$16)</f>
        <v>6</v>
      </c>
    </row>
    <row r="3" spans="1:9" x14ac:dyDescent="0.25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5">
        <f t="shared" si="1"/>
        <v>72.333333333333329</v>
      </c>
      <c r="H3" s="2">
        <f t="shared" si="2"/>
        <v>4</v>
      </c>
      <c r="I3" s="2">
        <f t="shared" si="3"/>
        <v>10</v>
      </c>
    </row>
    <row r="4" spans="1:9" x14ac:dyDescent="0.25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5">
        <f t="shared" si="1"/>
        <v>93.666666666666671</v>
      </c>
      <c r="H4" s="2">
        <f t="shared" si="2"/>
        <v>5</v>
      </c>
      <c r="I4" s="2">
        <f t="shared" si="3"/>
        <v>2</v>
      </c>
    </row>
    <row r="5" spans="1:9" x14ac:dyDescent="0.25">
      <c r="A5" s="2">
        <v>4</v>
      </c>
      <c r="B5" s="3" t="s">
        <v>12</v>
      </c>
      <c r="C5" s="4">
        <v>65</v>
      </c>
      <c r="D5" s="4">
        <v>55</v>
      </c>
      <c r="E5" s="4">
        <v>70</v>
      </c>
      <c r="F5" s="4">
        <f t="shared" si="0"/>
        <v>190</v>
      </c>
      <c r="G5" s="5">
        <f t="shared" si="1"/>
        <v>63.333333333333336</v>
      </c>
      <c r="H5" s="2">
        <f t="shared" si="2"/>
        <v>3</v>
      </c>
      <c r="I5" s="2">
        <f t="shared" si="3"/>
        <v>13</v>
      </c>
    </row>
    <row r="6" spans="1:9" x14ac:dyDescent="0.25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5">
        <f t="shared" si="1"/>
        <v>81.666666666666671</v>
      </c>
      <c r="H6" s="2">
        <f t="shared" si="2"/>
        <v>4</v>
      </c>
      <c r="I6" s="2">
        <f t="shared" si="3"/>
        <v>7</v>
      </c>
    </row>
    <row r="7" spans="1:9" x14ac:dyDescent="0.25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5">
        <f t="shared" si="1"/>
        <v>91</v>
      </c>
      <c r="H7" s="2">
        <f t="shared" si="2"/>
        <v>5</v>
      </c>
      <c r="I7" s="2">
        <f t="shared" si="3"/>
        <v>4</v>
      </c>
    </row>
    <row r="8" spans="1:9" x14ac:dyDescent="0.25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5">
        <f t="shared" si="1"/>
        <v>67.666666666666671</v>
      </c>
      <c r="H8" s="2">
        <f t="shared" si="2"/>
        <v>3</v>
      </c>
      <c r="I8" s="2">
        <f t="shared" si="3"/>
        <v>12</v>
      </c>
    </row>
    <row r="9" spans="1:9" x14ac:dyDescent="0.25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5">
        <f t="shared" si="1"/>
        <v>88.333333333333329</v>
      </c>
      <c r="H9" s="2">
        <f t="shared" si="2"/>
        <v>5</v>
      </c>
      <c r="I9" s="2">
        <f t="shared" si="3"/>
        <v>5</v>
      </c>
    </row>
    <row r="10" spans="1:9" x14ac:dyDescent="0.25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5">
        <f t="shared" si="1"/>
        <v>57.666666666666664</v>
      </c>
      <c r="H10" s="2">
        <f t="shared" si="2"/>
        <v>3</v>
      </c>
      <c r="I10" s="2">
        <f t="shared" si="3"/>
        <v>15</v>
      </c>
    </row>
    <row r="11" spans="1:9" x14ac:dyDescent="0.25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5">
        <f t="shared" si="1"/>
        <v>79</v>
      </c>
      <c r="H11" s="2">
        <f t="shared" si="2"/>
        <v>4</v>
      </c>
      <c r="I11" s="2">
        <f t="shared" si="3"/>
        <v>8</v>
      </c>
    </row>
    <row r="12" spans="1:9" x14ac:dyDescent="0.25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5">
        <f t="shared" si="1"/>
        <v>70</v>
      </c>
      <c r="H12" s="2">
        <f t="shared" si="2"/>
        <v>4</v>
      </c>
      <c r="I12" s="2">
        <f t="shared" si="3"/>
        <v>11</v>
      </c>
    </row>
    <row r="13" spans="1:9" x14ac:dyDescent="0.25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5">
        <f t="shared" si="1"/>
        <v>92</v>
      </c>
      <c r="H13" s="2">
        <f t="shared" si="2"/>
        <v>5</v>
      </c>
      <c r="I13" s="2">
        <f t="shared" si="3"/>
        <v>3</v>
      </c>
    </row>
    <row r="14" spans="1:9" x14ac:dyDescent="0.25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5">
        <f t="shared" si="1"/>
        <v>77.666666666666671</v>
      </c>
      <c r="H14" s="2">
        <f t="shared" si="2"/>
        <v>4</v>
      </c>
      <c r="I14" s="2">
        <f t="shared" si="3"/>
        <v>9</v>
      </c>
    </row>
    <row r="15" spans="1:9" x14ac:dyDescent="0.25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5">
        <f t="shared" si="1"/>
        <v>61.666666666666664</v>
      </c>
      <c r="H15" s="2">
        <f t="shared" si="2"/>
        <v>3</v>
      </c>
      <c r="I15" s="2">
        <f t="shared" si="3"/>
        <v>14</v>
      </c>
    </row>
    <row r="16" spans="1:9" x14ac:dyDescent="0.25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5">
        <f t="shared" si="1"/>
        <v>97.666666666666671</v>
      </c>
      <c r="H16" s="2">
        <f t="shared" si="2"/>
        <v>5</v>
      </c>
      <c r="I16" s="2">
        <f t="shared" si="3"/>
        <v>1</v>
      </c>
    </row>
    <row r="18" spans="1:7" x14ac:dyDescent="0.25">
      <c r="B18" s="6" t="s">
        <v>24</v>
      </c>
    </row>
    <row r="19" spans="1:7" ht="31.5" customHeight="1" x14ac:dyDescent="0.25">
      <c r="A19" s="15"/>
      <c r="B19" s="15" t="s">
        <v>25</v>
      </c>
      <c r="C19" s="15" t="s">
        <v>26</v>
      </c>
      <c r="D19" s="15" t="s">
        <v>27</v>
      </c>
      <c r="E19" s="15" t="s">
        <v>28</v>
      </c>
      <c r="F19" s="15" t="s">
        <v>5</v>
      </c>
      <c r="G19" s="15" t="s">
        <v>6</v>
      </c>
    </row>
    <row r="20" spans="1:7" x14ac:dyDescent="0.25">
      <c r="B20" s="3" t="s">
        <v>29</v>
      </c>
      <c r="C20" s="5">
        <f>SUM(C$2:C$16)</f>
        <v>1170</v>
      </c>
      <c r="D20" s="5">
        <f>SUM(D$2:D$16)</f>
        <v>1139</v>
      </c>
      <c r="E20" s="5">
        <f>SUM(E$2:E$16)</f>
        <v>1227</v>
      </c>
      <c r="F20" s="5">
        <f>SUM(F$2:F$16)</f>
        <v>3536</v>
      </c>
      <c r="G20" s="5">
        <f>SUM(G$2:G$16)</f>
        <v>1178.6666666666667</v>
      </c>
    </row>
    <row r="21" spans="1:7" x14ac:dyDescent="0.25">
      <c r="B21" s="3" t="s">
        <v>30</v>
      </c>
      <c r="C21" s="5">
        <f>AVERAGE(C$2:C$16)</f>
        <v>78</v>
      </c>
      <c r="D21" s="5">
        <f>AVERAGE(D$2:D$16)</f>
        <v>75.933333333333337</v>
      </c>
      <c r="E21" s="5">
        <f>AVERAGE(E$2:E$16)</f>
        <v>81.8</v>
      </c>
      <c r="F21" s="5">
        <f>AVERAGE(F$2:F$16)</f>
        <v>235.73333333333332</v>
      </c>
      <c r="G21" s="5">
        <f>AVERAGE(G$2:G$16)</f>
        <v>78.577777777777783</v>
      </c>
    </row>
    <row r="22" spans="1:7" x14ac:dyDescent="0.25">
      <c r="B22" s="3" t="s">
        <v>31</v>
      </c>
      <c r="C22" s="5">
        <f>MEDIAN(C$2:C$16)</f>
        <v>78</v>
      </c>
      <c r="D22" s="5">
        <f>MEDIAN(D$2:D$16)</f>
        <v>78</v>
      </c>
      <c r="E22" s="5">
        <f>MEDIAN(E$2:E$16)</f>
        <v>82</v>
      </c>
      <c r="F22" s="5">
        <f>MEDIAN(F$2:F$16)</f>
        <v>237</v>
      </c>
      <c r="G22" s="5">
        <f>MEDIAN(G$2:G$16)</f>
        <v>79</v>
      </c>
    </row>
    <row r="23" spans="1:7" x14ac:dyDescent="0.25">
      <c r="B23" s="3" t="s">
        <v>32</v>
      </c>
      <c r="C23" s="5">
        <f>IFERROR(MODE(C$2:C$16),"нет")</f>
        <v>65</v>
      </c>
      <c r="D23" s="5">
        <f>IFERROR(MODE(D$2:D$16),"нет")</f>
        <v>78</v>
      </c>
      <c r="E23" s="5">
        <f>IFERROR(MODE(E$2:E$16),"нет")</f>
        <v>80</v>
      </c>
      <c r="F23" s="5" t="str">
        <f>IFERROR(MODE(F$2:F$16),"нет")</f>
        <v>нет</v>
      </c>
      <c r="G23" s="5" t="str">
        <f>IFERROR(MODE(G$2:G$16),"нет")</f>
        <v>нет</v>
      </c>
    </row>
    <row r="24" spans="1:7" x14ac:dyDescent="0.25">
      <c r="B24" s="3" t="s">
        <v>33</v>
      </c>
      <c r="C24" s="5">
        <f>MIN(C$2:C$16)</f>
        <v>55</v>
      </c>
      <c r="D24" s="5">
        <f>MIN(D$2:D$16)</f>
        <v>55</v>
      </c>
      <c r="E24" s="5">
        <f>MIN(E$2:E$16)</f>
        <v>58</v>
      </c>
      <c r="F24" s="5">
        <f>MIN(F$2:F$16)</f>
        <v>173</v>
      </c>
      <c r="G24" s="5">
        <f>MIN(G$2:G$16)</f>
        <v>57.666666666666664</v>
      </c>
    </row>
    <row r="25" spans="1:7" x14ac:dyDescent="0.25">
      <c r="B25" s="3" t="s">
        <v>34</v>
      </c>
      <c r="C25" s="5">
        <f>MAX(C$2:C$16)</f>
        <v>98</v>
      </c>
      <c r="D25" s="5">
        <f>MAX(D$2:D$16)</f>
        <v>95</v>
      </c>
      <c r="E25" s="5">
        <f>MAX(E$2:E$16)</f>
        <v>100</v>
      </c>
      <c r="F25" s="5">
        <f>MAX(F$2:F$16)</f>
        <v>293</v>
      </c>
      <c r="G25" s="5">
        <f>MAX(G$2:G$16)</f>
        <v>97.666666666666671</v>
      </c>
    </row>
  </sheetData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28" customWidth="1"/>
    <col min="3" max="8" width="16" customWidth="1"/>
  </cols>
  <sheetData>
    <row r="1" spans="1:8" ht="30" customHeight="1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8</v>
      </c>
    </row>
    <row r="2" spans="1:8" x14ac:dyDescent="0.25">
      <c r="A2" s="2">
        <v>1</v>
      </c>
      <c r="B2" s="3" t="s">
        <v>41</v>
      </c>
      <c r="C2" s="7">
        <v>45000</v>
      </c>
      <c r="D2" s="7">
        <v>12</v>
      </c>
      <c r="E2" s="7">
        <f t="shared" ref="E2:E16" si="0">C2*D2</f>
        <v>540000</v>
      </c>
      <c r="F2" s="2" t="str">
        <f t="shared" ref="F2:F16" si="1">IF(E2&gt;100000,"Топ",IF(E2&gt;50000,"Средний","Низкий"))</f>
        <v>Топ</v>
      </c>
      <c r="G2" s="8">
        <f t="shared" ref="G2:G16" si="2">E2/$E$17</f>
        <v>0.28600180075207882</v>
      </c>
      <c r="H2" s="2">
        <f t="shared" ref="H2:H16" si="3">RANK(E2,$E$2:$E$16)</f>
        <v>1</v>
      </c>
    </row>
    <row r="3" spans="1:8" x14ac:dyDescent="0.25">
      <c r="A3" s="2">
        <v>2</v>
      </c>
      <c r="B3" s="3" t="s">
        <v>42</v>
      </c>
      <c r="C3" s="7">
        <v>18000</v>
      </c>
      <c r="D3" s="7">
        <v>25</v>
      </c>
      <c r="E3" s="7">
        <f t="shared" si="0"/>
        <v>450000</v>
      </c>
      <c r="F3" s="2" t="str">
        <f t="shared" si="1"/>
        <v>Топ</v>
      </c>
      <c r="G3" s="8">
        <f t="shared" si="2"/>
        <v>0.23833483396006566</v>
      </c>
      <c r="H3" s="2">
        <f t="shared" si="3"/>
        <v>2</v>
      </c>
    </row>
    <row r="4" spans="1:8" x14ac:dyDescent="0.25">
      <c r="A4" s="2">
        <v>3</v>
      </c>
      <c r="B4" s="3" t="s">
        <v>43</v>
      </c>
      <c r="C4" s="7">
        <v>1500</v>
      </c>
      <c r="D4" s="7">
        <v>60</v>
      </c>
      <c r="E4" s="7">
        <f t="shared" si="0"/>
        <v>90000</v>
      </c>
      <c r="F4" s="2" t="str">
        <f t="shared" si="1"/>
        <v>Средний</v>
      </c>
      <c r="G4" s="8">
        <f t="shared" si="2"/>
        <v>4.7666966792013134E-2</v>
      </c>
      <c r="H4" s="2">
        <f t="shared" si="3"/>
        <v>5</v>
      </c>
    </row>
    <row r="5" spans="1:8" x14ac:dyDescent="0.25">
      <c r="A5" s="2">
        <v>4</v>
      </c>
      <c r="B5" s="3" t="s">
        <v>44</v>
      </c>
      <c r="C5" s="7">
        <v>800</v>
      </c>
      <c r="D5" s="7">
        <v>85</v>
      </c>
      <c r="E5" s="7">
        <f t="shared" si="0"/>
        <v>68000</v>
      </c>
      <c r="F5" s="2" t="str">
        <f t="shared" si="1"/>
        <v>Средний</v>
      </c>
      <c r="G5" s="8">
        <f t="shared" si="2"/>
        <v>3.6015041576187699E-2</v>
      </c>
      <c r="H5" s="2">
        <f t="shared" si="3"/>
        <v>9</v>
      </c>
    </row>
    <row r="6" spans="1:8" x14ac:dyDescent="0.25">
      <c r="A6" s="2">
        <v>5</v>
      </c>
      <c r="B6" s="3" t="s">
        <v>45</v>
      </c>
      <c r="C6" s="7">
        <v>12000</v>
      </c>
      <c r="D6" s="7">
        <v>8</v>
      </c>
      <c r="E6" s="7">
        <f t="shared" si="0"/>
        <v>96000</v>
      </c>
      <c r="F6" s="2" t="str">
        <f t="shared" si="1"/>
        <v>Средний</v>
      </c>
      <c r="G6" s="8">
        <f t="shared" si="2"/>
        <v>5.0844764578147343E-2</v>
      </c>
      <c r="H6" s="2">
        <f t="shared" si="3"/>
        <v>4</v>
      </c>
    </row>
    <row r="7" spans="1:8" x14ac:dyDescent="0.25">
      <c r="A7" s="2">
        <v>6</v>
      </c>
      <c r="B7" s="3" t="s">
        <v>46</v>
      </c>
      <c r="C7" s="7">
        <v>9000</v>
      </c>
      <c r="D7" s="7">
        <v>6</v>
      </c>
      <c r="E7" s="7">
        <f t="shared" si="0"/>
        <v>54000</v>
      </c>
      <c r="F7" s="2" t="str">
        <f t="shared" si="1"/>
        <v>Средний</v>
      </c>
      <c r="G7" s="8">
        <f t="shared" si="2"/>
        <v>2.8600180075207881E-2</v>
      </c>
      <c r="H7" s="2">
        <f t="shared" si="3"/>
        <v>12</v>
      </c>
    </row>
    <row r="8" spans="1:8" x14ac:dyDescent="0.25">
      <c r="A8" s="2">
        <v>7</v>
      </c>
      <c r="B8" s="3" t="s">
        <v>47</v>
      </c>
      <c r="C8" s="7">
        <v>600</v>
      </c>
      <c r="D8" s="7">
        <v>120</v>
      </c>
      <c r="E8" s="7">
        <f t="shared" si="0"/>
        <v>72000</v>
      </c>
      <c r="F8" s="2" t="str">
        <f t="shared" si="1"/>
        <v>Средний</v>
      </c>
      <c r="G8" s="8">
        <f t="shared" si="2"/>
        <v>3.8133573433610506E-2</v>
      </c>
      <c r="H8" s="2">
        <f t="shared" si="3"/>
        <v>7</v>
      </c>
    </row>
    <row r="9" spans="1:8" x14ac:dyDescent="0.25">
      <c r="A9" s="2">
        <v>8</v>
      </c>
      <c r="B9" s="3" t="s">
        <v>48</v>
      </c>
      <c r="C9" s="7">
        <v>5500</v>
      </c>
      <c r="D9" s="7">
        <v>15</v>
      </c>
      <c r="E9" s="7">
        <f t="shared" si="0"/>
        <v>82500</v>
      </c>
      <c r="F9" s="2" t="str">
        <f t="shared" si="1"/>
        <v>Средний</v>
      </c>
      <c r="G9" s="8">
        <f t="shared" si="2"/>
        <v>4.3694719559345375E-2</v>
      </c>
      <c r="H9" s="2">
        <f t="shared" si="3"/>
        <v>6</v>
      </c>
    </row>
    <row r="10" spans="1:8" x14ac:dyDescent="0.25">
      <c r="A10" s="2">
        <v>9</v>
      </c>
      <c r="B10" s="3" t="s">
        <v>49</v>
      </c>
      <c r="C10" s="7">
        <v>2800</v>
      </c>
      <c r="D10" s="7">
        <v>22</v>
      </c>
      <c r="E10" s="7">
        <f t="shared" si="0"/>
        <v>61600</v>
      </c>
      <c r="F10" s="2" t="str">
        <f t="shared" si="1"/>
        <v>Средний</v>
      </c>
      <c r="G10" s="8">
        <f t="shared" si="2"/>
        <v>3.2625390604311209E-2</v>
      </c>
      <c r="H10" s="2">
        <f t="shared" si="3"/>
        <v>11</v>
      </c>
    </row>
    <row r="11" spans="1:8" x14ac:dyDescent="0.25">
      <c r="A11" s="2">
        <v>10</v>
      </c>
      <c r="B11" s="3" t="s">
        <v>50</v>
      </c>
      <c r="C11" s="7">
        <v>3200</v>
      </c>
      <c r="D11" s="7">
        <v>35</v>
      </c>
      <c r="E11" s="7">
        <f t="shared" si="0"/>
        <v>112000</v>
      </c>
      <c r="F11" s="2" t="str">
        <f t="shared" si="1"/>
        <v>Топ</v>
      </c>
      <c r="G11" s="8">
        <f t="shared" si="2"/>
        <v>5.9318892007838568E-2</v>
      </c>
      <c r="H11" s="2">
        <f t="shared" si="3"/>
        <v>3</v>
      </c>
    </row>
    <row r="12" spans="1:8" x14ac:dyDescent="0.25">
      <c r="A12" s="2">
        <v>11</v>
      </c>
      <c r="B12" s="3" t="s">
        <v>51</v>
      </c>
      <c r="C12" s="7">
        <v>400</v>
      </c>
      <c r="D12" s="7">
        <v>90</v>
      </c>
      <c r="E12" s="7">
        <f t="shared" si="0"/>
        <v>36000</v>
      </c>
      <c r="F12" s="2" t="str">
        <f t="shared" si="1"/>
        <v>Низкий</v>
      </c>
      <c r="G12" s="8">
        <f t="shared" si="2"/>
        <v>1.9066786716805253E-2</v>
      </c>
      <c r="H12" s="2">
        <f t="shared" si="3"/>
        <v>15</v>
      </c>
    </row>
    <row r="13" spans="1:8" x14ac:dyDescent="0.25">
      <c r="A13" s="2">
        <v>12</v>
      </c>
      <c r="B13" s="3" t="s">
        <v>52</v>
      </c>
      <c r="C13" s="7">
        <v>1200</v>
      </c>
      <c r="D13" s="7">
        <v>40</v>
      </c>
      <c r="E13" s="7">
        <f t="shared" si="0"/>
        <v>48000</v>
      </c>
      <c r="F13" s="2" t="str">
        <f t="shared" si="1"/>
        <v>Низкий</v>
      </c>
      <c r="G13" s="8">
        <f t="shared" si="2"/>
        <v>2.5422382289073672E-2</v>
      </c>
      <c r="H13" s="2">
        <f t="shared" si="3"/>
        <v>13</v>
      </c>
    </row>
    <row r="14" spans="1:8" x14ac:dyDescent="0.25">
      <c r="A14" s="2">
        <v>13</v>
      </c>
      <c r="B14" s="3" t="s">
        <v>53</v>
      </c>
      <c r="C14" s="7">
        <v>2500</v>
      </c>
      <c r="D14" s="7">
        <v>18</v>
      </c>
      <c r="E14" s="7">
        <f t="shared" si="0"/>
        <v>45000</v>
      </c>
      <c r="F14" s="2" t="str">
        <f t="shared" si="1"/>
        <v>Низкий</v>
      </c>
      <c r="G14" s="8">
        <f t="shared" si="2"/>
        <v>2.3833483396006567E-2</v>
      </c>
      <c r="H14" s="2">
        <f t="shared" si="3"/>
        <v>14</v>
      </c>
    </row>
    <row r="15" spans="1:8" x14ac:dyDescent="0.25">
      <c r="A15" s="2">
        <v>14</v>
      </c>
      <c r="B15" s="3" t="s">
        <v>54</v>
      </c>
      <c r="C15" s="7">
        <v>350</v>
      </c>
      <c r="D15" s="7">
        <v>200</v>
      </c>
      <c r="E15" s="7">
        <f t="shared" si="0"/>
        <v>70000</v>
      </c>
      <c r="F15" s="2" t="str">
        <f t="shared" si="1"/>
        <v>Средний</v>
      </c>
      <c r="G15" s="8">
        <f t="shared" si="2"/>
        <v>3.7074307504899102E-2</v>
      </c>
      <c r="H15" s="2">
        <f t="shared" si="3"/>
        <v>8</v>
      </c>
    </row>
    <row r="16" spans="1:8" x14ac:dyDescent="0.25">
      <c r="A16" s="2">
        <v>15</v>
      </c>
      <c r="B16" s="3" t="s">
        <v>55</v>
      </c>
      <c r="C16" s="7">
        <v>4500</v>
      </c>
      <c r="D16" s="7">
        <v>14</v>
      </c>
      <c r="E16" s="7">
        <f t="shared" si="0"/>
        <v>63000</v>
      </c>
      <c r="F16" s="2" t="str">
        <f t="shared" si="1"/>
        <v>Средний</v>
      </c>
      <c r="G16" s="8">
        <f t="shared" si="2"/>
        <v>3.3366876754409192E-2</v>
      </c>
      <c r="H16" s="2">
        <f t="shared" si="3"/>
        <v>10</v>
      </c>
    </row>
    <row r="17" spans="1:8" x14ac:dyDescent="0.25">
      <c r="A17" s="9"/>
      <c r="B17" s="10" t="s">
        <v>56</v>
      </c>
      <c r="C17" s="11"/>
      <c r="D17" s="11"/>
      <c r="E17" s="11">
        <f>SUM(E2:E16)</f>
        <v>1888100</v>
      </c>
      <c r="F17" s="9"/>
      <c r="G17" s="12">
        <f>SUM(G2:G16)</f>
        <v>1</v>
      </c>
      <c r="H17" s="9"/>
    </row>
    <row r="19" spans="1:8" x14ac:dyDescent="0.25">
      <c r="B19" s="6" t="s">
        <v>57</v>
      </c>
    </row>
    <row r="20" spans="1:8" x14ac:dyDescent="0.25">
      <c r="B20" s="13" t="s">
        <v>29</v>
      </c>
      <c r="C20" s="7">
        <f>SUM(E2:E16)</f>
        <v>1888100</v>
      </c>
    </row>
    <row r="21" spans="1:8" x14ac:dyDescent="0.25">
      <c r="B21" s="13" t="s">
        <v>30</v>
      </c>
      <c r="C21" s="7">
        <f>AVERAGE(E2:E16)</f>
        <v>125873.33333333333</v>
      </c>
    </row>
    <row r="22" spans="1:8" x14ac:dyDescent="0.25">
      <c r="B22" s="13" t="s">
        <v>31</v>
      </c>
      <c r="C22" s="7">
        <f>MEDIAN(E2:E16)</f>
        <v>70000</v>
      </c>
    </row>
    <row r="23" spans="1:8" x14ac:dyDescent="0.25">
      <c r="B23" s="13" t="s">
        <v>32</v>
      </c>
      <c r="C23" s="7" t="str">
        <f>IFERROR(MODE(E2:E16),"нет")</f>
        <v>нет</v>
      </c>
    </row>
    <row r="24" spans="1:8" x14ac:dyDescent="0.25">
      <c r="B24" s="13" t="s">
        <v>33</v>
      </c>
      <c r="C24" s="7">
        <f>MIN(E2:E16)</f>
        <v>36000</v>
      </c>
    </row>
    <row r="25" spans="1:8" x14ac:dyDescent="0.25">
      <c r="B25" s="13" t="s">
        <v>34</v>
      </c>
      <c r="C25" s="7">
        <f>MAX(E2:E16)</f>
        <v>540000</v>
      </c>
    </row>
    <row r="26" spans="1:8" x14ac:dyDescent="0.25">
      <c r="B26" s="13" t="s">
        <v>58</v>
      </c>
      <c r="C26" s="7">
        <f>STDEV(E2:E16)</f>
        <v>152155.31757604354</v>
      </c>
    </row>
    <row r="27" spans="1:8" x14ac:dyDescent="0.25">
      <c r="B27" s="13" t="s">
        <v>59</v>
      </c>
      <c r="C27" s="7">
        <f>VAR(E2:E16)</f>
        <v>23151240666.666668</v>
      </c>
    </row>
    <row r="28" spans="1:8" x14ac:dyDescent="0.25">
      <c r="B28" s="13" t="s">
        <v>60</v>
      </c>
      <c r="C28" s="4">
        <f>COUNTIF(F2:F16,"Топ")</f>
        <v>3</v>
      </c>
    </row>
    <row r="29" spans="1:8" x14ac:dyDescent="0.25">
      <c r="B29" s="13" t="s">
        <v>61</v>
      </c>
      <c r="C29" s="7">
        <f>SUMIF(F2:F16,"Топ",E2:E16)</f>
        <v>1102000</v>
      </c>
    </row>
    <row r="30" spans="1:8" x14ac:dyDescent="0.25">
      <c r="B30" s="13" t="s">
        <v>62</v>
      </c>
      <c r="C30" s="7">
        <f>AVERAGEIF(F2:F16,"Средний",E2:E16)</f>
        <v>73011.111111111109</v>
      </c>
    </row>
    <row r="31" spans="1:8" x14ac:dyDescent="0.25">
      <c r="B31" s="13" t="s">
        <v>63</v>
      </c>
      <c r="C31" s="14">
        <f>CORREL(C2:C16,D2:D16)</f>
        <v>-0.39694833806521035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Студенты Левченко Д.О.</cp:lastModifiedBy>
  <cp:revision>0</cp:revision>
  <dcterms:created xsi:type="dcterms:W3CDTF">2026-10-28T10:40:53Z</dcterms:created>
  <dcterms:modified xsi:type="dcterms:W3CDTF">2026-10-28T11:43:02Z</dcterms:modified>
  <dc:language>en-US</dc:language>
</cp:coreProperties>
</file>